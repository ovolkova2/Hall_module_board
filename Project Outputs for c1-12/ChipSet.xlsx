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\Proj\DistrHall\git\Hall_module_board\"/>
    </mc:Choice>
  </mc:AlternateContent>
  <bookViews>
    <workbookView xWindow="0" yWindow="0" windowWidth="14376" windowHeight="10212"/>
  </bookViews>
  <sheets>
    <sheet name="PCB_proj_module_1_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8" i="1" l="1"/>
  <c r="G67" i="1"/>
  <c r="G65" i="1"/>
  <c r="G66" i="1"/>
  <c r="G13" i="1"/>
  <c r="G64" i="1" l="1"/>
  <c r="G37" i="1"/>
  <c r="G30" i="1"/>
  <c r="G26" i="1"/>
  <c r="G29" i="1"/>
  <c r="G40" i="1"/>
  <c r="G61" i="1"/>
  <c r="G57" i="1" l="1"/>
  <c r="G58" i="1"/>
  <c r="G59" i="1"/>
  <c r="G60" i="1"/>
  <c r="G31" i="1"/>
  <c r="G47" i="1"/>
  <c r="G49" i="1"/>
  <c r="G3" i="1"/>
  <c r="G44" i="1"/>
  <c r="G45" i="1"/>
  <c r="G46" i="1"/>
  <c r="G9" i="1"/>
  <c r="G14" i="1"/>
  <c r="G38" i="1"/>
  <c r="G39" i="1"/>
  <c r="G41" i="1"/>
  <c r="G27" i="1"/>
  <c r="G25" i="1"/>
  <c r="G28" i="1"/>
  <c r="G76" i="1"/>
  <c r="G52" i="1"/>
  <c r="G53" i="1"/>
  <c r="G54" i="1"/>
  <c r="G77" i="1"/>
  <c r="G34" i="1"/>
  <c r="G35" i="1"/>
  <c r="G36" i="1"/>
  <c r="G69" i="1"/>
  <c r="G70" i="1"/>
  <c r="G71" i="1"/>
  <c r="G72" i="1"/>
  <c r="G73" i="1"/>
  <c r="G74" i="1"/>
  <c r="G78" i="1"/>
  <c r="G6" i="1"/>
  <c r="G5" i="1"/>
  <c r="G11" i="1"/>
  <c r="G22" i="1"/>
  <c r="G21" i="1"/>
  <c r="G48" i="1"/>
  <c r="G16" i="1"/>
  <c r="G17" i="1"/>
  <c r="G10" i="1"/>
  <c r="G20" i="1"/>
  <c r="G12" i="1"/>
  <c r="G19" i="1"/>
  <c r="G15" i="1"/>
  <c r="G8" i="1"/>
  <c r="G7" i="1"/>
  <c r="G18" i="1"/>
  <c r="G79" i="1"/>
  <c r="G80" i="1"/>
  <c r="G81" i="1"/>
  <c r="G82" i="1"/>
  <c r="G2" i="1"/>
  <c r="G83" i="1" l="1"/>
</calcChain>
</file>

<file path=xl/sharedStrings.xml><?xml version="1.0" encoding="utf-8"?>
<sst xmlns="http://schemas.openxmlformats.org/spreadsheetml/2006/main" count="277" uniqueCount="237">
  <si>
    <t>Comment</t>
  </si>
  <si>
    <t>Description</t>
  </si>
  <si>
    <t>Designator</t>
  </si>
  <si>
    <t>Quantity</t>
  </si>
  <si>
    <t>USER (Blue)</t>
  </si>
  <si>
    <t>SE PUSHBUTTON</t>
  </si>
  <si>
    <t>B1</t>
  </si>
  <si>
    <t>C7, C8, C9, C10, C11, C12, C13, C14, C15, C16</t>
  </si>
  <si>
    <t>10uF</t>
  </si>
  <si>
    <t>C46, C47</t>
  </si>
  <si>
    <t>Polarized Capacitor,10uF,10V,10%,typeA,VISHAY, Capacitor 0402 / 0603 / 0805</t>
  </si>
  <si>
    <t>C78, C85, C86, C89, C90, C110, C111, C114, C115</t>
  </si>
  <si>
    <t/>
  </si>
  <si>
    <t>C1471, C1472, C1473, C1474, C1475, C1476, C1477, C1478, C1479, C1481, C1482, C1483, C1484, C1485, C1486, C1487, C1488, C1489, C1491, C1492, C1493, C1494, C1495, C1496, C1497, C1498, C1499, C14710, C14711, C14712, C14713, C14714, C14715, C14716, C14810, C14811, C14812, C14813, C14814, C14815, C14816, C14910, C14911, C14912, C14913, C14914, C14915, C14916</t>
  </si>
  <si>
    <t>CN1</t>
  </si>
  <si>
    <t>USBUF02W6</t>
  </si>
  <si>
    <t>USB protection</t>
  </si>
  <si>
    <t>CR1, CR2</t>
  </si>
  <si>
    <t>D1, D2, D3, D4</t>
  </si>
  <si>
    <t>D5, D6</t>
  </si>
  <si>
    <t>RB521S-30</t>
  </si>
  <si>
    <t>D7</t>
  </si>
  <si>
    <t>DFLS240</t>
  </si>
  <si>
    <t>D8, D9</t>
  </si>
  <si>
    <t>SD</t>
  </si>
  <si>
    <t>D10_CH1, D10_CH2, D10_CH3, D10_CH4, D10_CH5, D10_CH6, D10_CH7, D10_CH8, D11_CH1, D11_CH2, D11_CH3, D11_CH4, D11_CH5, D11_CH6, D11_CH7, D11_CH8</t>
  </si>
  <si>
    <t>DD1</t>
  </si>
  <si>
    <t>FT234XD</t>
  </si>
  <si>
    <t>DD2</t>
  </si>
  <si>
    <t>J1, J3, J4, J5, J6, J7, J8, J9, J10, J11, J20</t>
  </si>
  <si>
    <t>J2, J19</t>
  </si>
  <si>
    <t>J16</t>
  </si>
  <si>
    <t>J17</t>
  </si>
  <si>
    <t>J22_CH1, J22_CH2, J22_CH3, J22_CH4, J22_CH5, J22_CH6, J22_CH7, J22_CH8</t>
  </si>
  <si>
    <t>K1</t>
  </si>
  <si>
    <t>BEAD</t>
  </si>
  <si>
    <t>Inductor</t>
  </si>
  <si>
    <t>L4</t>
  </si>
  <si>
    <t>XAL40</t>
  </si>
  <si>
    <t>L6, L8</t>
  </si>
  <si>
    <t>SMD Ferrite bead 0805</t>
  </si>
  <si>
    <t>L,1, L1, L2, L3, L5, L7, L9, L10, L11, L12, L13, L14, L15, L16, L17, L18, L191, L192, L193, L194, L195, L196, L197, L198, L199, L201, L202, L203, L204, L205, L206, L207, L208, L209, L211, L212, L213, L214, L215, L216, L217, L218, L219, L1910, L1911, L1912, L1913, L1914, L1915, L1916, L2010, L2011, L2012, L2013, L2014, L2015, L2016, L2110, L2111, L2112, L2113, L2114, L2115, L2116</t>
  </si>
  <si>
    <t>MD1</t>
  </si>
  <si>
    <t>Q1</t>
  </si>
  <si>
    <t>AO3401A</t>
  </si>
  <si>
    <t>Q21, Q22, Q23, Q24, Q25, Q26, Q27, Q28, Q29, Q210, Q211, Q212, Q213, Q214, Q215, Q216</t>
  </si>
  <si>
    <t>AO3400A</t>
  </si>
  <si>
    <t>Q31, Q32, Q33, Q34, Q35, Q36, Q37, Q38, Q39, Q310, Q311, Q312, Q313, Q314, Q315, Q316</t>
  </si>
  <si>
    <t>8.2K</t>
  </si>
  <si>
    <t>R22, R23, R24, R25, R30</t>
  </si>
  <si>
    <t>10K</t>
  </si>
  <si>
    <t>R27, R125_CH1, R125_CH2, R125_CH3, R125_CH4, R125_CH5, R125_CH6, R125_CH7, R125_CH8, R126_CH1, R126_CH2, R126_CH3, R126_CH4, R126_CH5, R126_CH6, R126_CH7, R126_CH8</t>
  </si>
  <si>
    <t>1K5</t>
  </si>
  <si>
    <t>R67</t>
  </si>
  <si>
    <t>15k</t>
  </si>
  <si>
    <t>R85</t>
  </si>
  <si>
    <t>1K2</t>
  </si>
  <si>
    <t>R97, R105</t>
  </si>
  <si>
    <t>6K8</t>
  </si>
  <si>
    <t>R100, R103</t>
  </si>
  <si>
    <t>LT5400-6</t>
  </si>
  <si>
    <t>4 прецизионных резистора</t>
  </si>
  <si>
    <t>R101</t>
  </si>
  <si>
    <t>H5007NL</t>
  </si>
  <si>
    <t>T1</t>
  </si>
  <si>
    <t>T2</t>
  </si>
  <si>
    <t>AD7768BSTZ</t>
  </si>
  <si>
    <t>U1</t>
  </si>
  <si>
    <t>74HC02D</t>
  </si>
  <si>
    <t>4 лог. элемента 2ИЛИ-НЕ</t>
  </si>
  <si>
    <t>U2</t>
  </si>
  <si>
    <t>ADUM5028</t>
  </si>
  <si>
    <t>U3</t>
  </si>
  <si>
    <t>STM32F756BGT6</t>
  </si>
  <si>
    <t>U4</t>
  </si>
  <si>
    <t>TPS3808ADJ</t>
  </si>
  <si>
    <t>U5, U6, U7, U8</t>
  </si>
  <si>
    <t>USBLC6-4SC6</t>
  </si>
  <si>
    <t>U9</t>
  </si>
  <si>
    <t>LAN8742A-CZ-TR</t>
  </si>
  <si>
    <t>U10</t>
  </si>
  <si>
    <t>LMZ12003EXT</t>
  </si>
  <si>
    <t>U11, U15</t>
  </si>
  <si>
    <t>ADP5070ACPZ</t>
  </si>
  <si>
    <t>U12</t>
  </si>
  <si>
    <t>REG1045V</t>
  </si>
  <si>
    <t>U13, U14, U16, U20</t>
  </si>
  <si>
    <t>ADP7118ACPZN-R7</t>
  </si>
  <si>
    <t>U17</t>
  </si>
  <si>
    <t>U18</t>
  </si>
  <si>
    <t>ADP7182ADJ</t>
  </si>
  <si>
    <t>U19</t>
  </si>
  <si>
    <t>IS42S32400F-6TL</t>
  </si>
  <si>
    <t>U21</t>
  </si>
  <si>
    <t>ADG1609BCPZ-REEL7</t>
  </si>
  <si>
    <t>U23_CH1, U23_CH2, U23_CH3, U23_CH4, U23_CH5, U23_CH6, U23_CH7, U23_CH8</t>
  </si>
  <si>
    <t>ADA4254ACPZ-R7</t>
  </si>
  <si>
    <t>U24_CH1, U24_CH2, U24_CH3, U24_CH4, U24_CH5, U24_CH6, U24_CH7, U24_CH8</t>
  </si>
  <si>
    <t>LT3092ETS8</t>
  </si>
  <si>
    <t>U221, U222, U223, U224, U225, U226, U227, U228, U229, U2210, U2211, U2212, U2213, U2214, U2215, U2216</t>
  </si>
  <si>
    <t>USB_TypeC_4056-03-A</t>
  </si>
  <si>
    <t>USB-C (USB TYPE-C) USB 3.2 Gen 2 (USB 3.1 Gen 2, Superspeed + (USB 3.1)) Receptacle Connector 24 Position Surface Mount, Right Angle; Through Hole</t>
  </si>
  <si>
    <t>X1</t>
  </si>
  <si>
    <t>X53T-C20SSA-25.000MHz</t>
  </si>
  <si>
    <t>Crystal Oscillator</t>
  </si>
  <si>
    <t>X2</t>
  </si>
  <si>
    <t>X3</t>
  </si>
  <si>
    <t>CB3LV-6C-8M000000</t>
  </si>
  <si>
    <t>8 MHz XO (Standard) HCMOS, TTL Oscillator 3.3V Enable/Disable 4-SMD, No Lead</t>
  </si>
  <si>
    <t>Y1, Y2</t>
  </si>
  <si>
    <t>Price</t>
  </si>
  <si>
    <t>ADM3251</t>
  </si>
  <si>
    <t>BLM21</t>
  </si>
  <si>
    <t>GRM188R72A104KA35D</t>
  </si>
  <si>
    <t>GRM21BR71E105K</t>
  </si>
  <si>
    <t>керамический SMD конденсатор 0603 100nF</t>
  </si>
  <si>
    <t>керамический SMD конденсатор 0805 1uF</t>
  </si>
  <si>
    <t>293D106X0010A2TE3</t>
  </si>
  <si>
    <t>Vendor</t>
  </si>
  <si>
    <t>Vishay</t>
  </si>
  <si>
    <t>Murata</t>
  </si>
  <si>
    <t>Танталовый SMD конденсатор Type A 10uF</t>
  </si>
  <si>
    <t>C78 -полярный? Остальные 0805?</t>
  </si>
  <si>
    <t>Замена на 0805 100nF</t>
  </si>
  <si>
    <t>C1, C2, C3, C4, C5, C6, C17, C18, C19, C20, C21, C22, C23, C24, C25, C26, C27, C28, C29, C30, C31, C32, C33, C34, C36, C37, C38, C39, C40, C41, C42, C43, C44, C45, C48, C49, C50, C51, C52, C53, C54, C55, C56, C57, C58, C59, C60, C61, C62, C63, C64, C65, C66, C67, C68, C69, C70, C71, C72, C73, C74, C75, C76, C77, C79, C80, C81, C82, C83, C84, C87, C88, C91, C92, C93, C94, C95, C96, C97, C98, C99, C100, C101, C102, C103, C104, C105, C106, C107, C108, C109, C112, C113, C116, C117, C118, C119, C120, C121, C122, C123, C124, C125, C126, C127, C128, C129, C130, C131, C132, C133, C134, C135, C136, C137, C138, C139, C140, C141, C142, C143, C144, C145, C146, C150_CH1, C150_CH2, C150_CH3, C150_CH4, C150_CH5, C150_CH6, C150_CH7, C150_CH8, C151_CH1, C151_CH2, C151_CH3, C151_CH4, C151_CH5, C151_CH6, C151_CH7, C151_CH8, C152_CH1, C152_CH2, C152_CH3, C152_CH4, C152_CH5, C152_CH6, C152_CH7, C152_CH8, 'C1471, C1472, C1473, C1474, C1475, C1476, C1477, C1478, C1479, C1481, C1482, C1483, C1484, C1485, C1486, C1487, C1488, C1489, C1491, C1492, C1493, C1494, C1495, C1496, C1497, C1498, C1499, C14710, C14711, C14712, C14713, C14714, C14715, C14716, C14810, C14811, C14812, C14813, C14814, C14815, C14816, C14910, C14911, C14912, C14913, C14914, C14915, C14916</t>
  </si>
  <si>
    <t xml:space="preserve"> Вилка на плату прямая 10pin 2.54мм</t>
  </si>
  <si>
    <t>BH-10 (DS1013-10S) (IDC-10MS)</t>
  </si>
  <si>
    <t xml:space="preserve"> Светодиод зеленый SMD 1608, 705мКд, 120°, 525нМ</t>
  </si>
  <si>
    <t>TO-1608BC-PG</t>
  </si>
  <si>
    <t>Диодный мост 200В 0.8А</t>
  </si>
  <si>
    <t>MB2S</t>
  </si>
  <si>
    <t>уточнить  максимальный ток через мост</t>
  </si>
  <si>
    <t>SMD Шоттки диод</t>
  </si>
  <si>
    <t>SMD Шоттки диод, 2А</t>
  </si>
  <si>
    <t>'SD</t>
  </si>
  <si>
    <t>Зачем мы их поставили? Тип диода. Можно ли поставить RB521S-30 или BAS40SL</t>
  </si>
  <si>
    <t>Драйвер UART-RS232</t>
  </si>
  <si>
    <t>Интерфейс: USB - UART корпус DFN12</t>
  </si>
  <si>
    <t>HU-4 (DS1070-4 F)</t>
  </si>
  <si>
    <t>WF-4 (DS1070-4 M), Вилка на плату 2.54мм открытая 4pin</t>
  </si>
  <si>
    <t>DRB-9FA</t>
  </si>
  <si>
    <t>В coment PLS2 - исправить</t>
  </si>
  <si>
    <t xml:space="preserve">розетка </t>
  </si>
  <si>
    <t xml:space="preserve">WF4 </t>
  </si>
  <si>
    <t xml:space="preserve">J2 Заменить на DS1159-14-4 + DS1159-15-4 </t>
  </si>
  <si>
    <t>RJHSE5381</t>
  </si>
  <si>
    <t>Гнездо, RJ45, Кат: 5, экранированный, с LED, Конф: 8p8c, THT</t>
  </si>
  <si>
    <t>PLS-3 (DS1021-1x3)</t>
  </si>
  <si>
    <t>Вилка штыревая 2.54мм 1x3pin прямая тип1</t>
  </si>
  <si>
    <t>Connfly</t>
  </si>
  <si>
    <t>ST Microelectronics</t>
  </si>
  <si>
    <t>OASISTEK</t>
  </si>
  <si>
    <t>Hottech</t>
  </si>
  <si>
    <t>CTK</t>
  </si>
  <si>
    <t>Diodes</t>
  </si>
  <si>
    <t>Analog Devices</t>
  </si>
  <si>
    <t>FTDI</t>
  </si>
  <si>
    <t>PLS-2 (DS1021-1x2)</t>
  </si>
  <si>
    <t>Вилка штыревая 2.54мм 1x2pin прямая тип1</t>
  </si>
  <si>
    <t>Amphenol</t>
  </si>
  <si>
    <t>уточнить размер платы и разъёмов</t>
  </si>
  <si>
    <t>Розетка D-SUB 9 контактов, гнездо на плату, прямой угол 7.2мм, тип 2</t>
  </si>
  <si>
    <t>DRB-9MB (L-KLS1-515C-09-M-B)</t>
  </si>
  <si>
    <t xml:space="preserve">KLS </t>
  </si>
  <si>
    <t>Вилка D-SUB 9 pin на плату угл. 9.4мм</t>
  </si>
  <si>
    <t xml:space="preserve">DB-9F </t>
  </si>
  <si>
    <t>Розетка на кабель 9 контактов</t>
  </si>
  <si>
    <t>CONNFLY</t>
  </si>
  <si>
    <t>DB-9M</t>
  </si>
  <si>
    <t>Вилка на кабель 9 контактов</t>
  </si>
  <si>
    <t>DP-9C Корпус разъема DB-9 пластиковый</t>
  </si>
  <si>
    <t>Корпус разъема DB-9 пластиковый</t>
  </si>
  <si>
    <t>J18, J23_CH1, J23_CH2, J23_CH3, J23_CH4, J23_CH5, J23_CH6, J23_CH7, J23_CH8, J24_CH1, J24_CH2, J24_CH3 J24_CH4, J24_CH5, J24_CH6, J24_CH7, J24_CH8, J12, J13, J14, J15,J251, J252, J253, J254, J255, J256, J257, J258, J259, J2510, J2511, J2512, J2513, J2514, J2515, J2516,J261, J262, J263, J264, J265, J266, J267, J268, J269, J2610, J2611, J2612, J2613, J2614, J2615, J2616, J271, J272, J273, J274, J275, J276, J277, J278, J279, J2710, J2711, J2712, J2713, J2714, J2715, J2716</t>
  </si>
  <si>
    <t>Согласовать размер</t>
  </si>
  <si>
    <t>Транзисторная оптопара</t>
  </si>
  <si>
    <t>PC817A</t>
  </si>
  <si>
    <t>Sharp</t>
  </si>
  <si>
    <t>P-канальный МОП транзистор</t>
  </si>
  <si>
    <t>N-канальный МОП транзистор</t>
  </si>
  <si>
    <t>UMW</t>
  </si>
  <si>
    <t>Coilcraft</t>
  </si>
  <si>
    <t>BC846</t>
  </si>
  <si>
    <t>Транзисторы</t>
  </si>
  <si>
    <t>Nexperia</t>
  </si>
  <si>
    <t>Биполярный транзистор</t>
  </si>
  <si>
    <t>Вспомнить зачем он нужен</t>
  </si>
  <si>
    <t>Разъёмы</t>
  </si>
  <si>
    <t>Микросхемы</t>
  </si>
  <si>
    <r>
      <rPr>
        <b/>
        <sz val="8"/>
        <color rgb="FF000000"/>
        <rFont val="Segoe UI"/>
        <family val="2"/>
        <charset val="204"/>
      </rPr>
      <t>Диоды</t>
    </r>
  </si>
  <si>
    <t>Конденсаторы</t>
  </si>
  <si>
    <t>Резисторы</t>
  </si>
  <si>
    <t>Защита интерфейса USB от электростатических разрядов [SOT-23-6]</t>
  </si>
  <si>
    <t xml:space="preserve"> Микроконтроллер - Arm Cortex-M7 1 Mbyte of Flash 216 MHz STMicroelectronics</t>
  </si>
  <si>
    <t>1 A/0.6 A, DC-to-DC преобразователь 5В-&gt;+-12В</t>
  </si>
  <si>
    <t>G6RN-1 12DC</t>
  </si>
  <si>
    <t>Реле электромагнитное,  SPDT 12VDC</t>
  </si>
  <si>
    <t>Разное</t>
  </si>
  <si>
    <t>Индуктивности</t>
  </si>
  <si>
    <t>SMD дроссель 10uH  3.1A 92.4мОм</t>
  </si>
  <si>
    <t xml:space="preserve"> PoE DC DC Преобразователь Uin 37V - 57V,  Uout 12V  2.125A</t>
  </si>
  <si>
    <t>Resistor 0603</t>
  </si>
  <si>
    <t>Трансформатор Ethernet</t>
  </si>
  <si>
    <t>MYBSP0122BABFT</t>
  </si>
  <si>
    <t>Yageo</t>
  </si>
  <si>
    <t>АЦП 24 бит, 8 каналов, P , LQFP-64(10x10)</t>
  </si>
  <si>
    <t>Изолированный DC DC 5V-&gt;5V or 3V3 60mA</t>
  </si>
  <si>
    <t>Супервизор питания</t>
  </si>
  <si>
    <t>Texas Instruments</t>
  </si>
  <si>
    <t>10/100 Ethernet, Transceiver SQFN-24</t>
  </si>
  <si>
    <t>Microchip Technology</t>
  </si>
  <si>
    <t>DC-DC преобразователь</t>
  </si>
  <si>
    <t>Линейный стабилизатор отрицательного напряжения LDO</t>
  </si>
  <si>
    <t>Линейный стабилизатор положительного напряжения LDO</t>
  </si>
  <si>
    <t>Integrated Silicon Solution</t>
  </si>
  <si>
    <t>4M x 32_x000D_ 128Mb Синхронная динамическая память</t>
  </si>
  <si>
    <t>LTC6655LNCHMS8-4.096</t>
  </si>
  <si>
    <t>Прецизионный стабилизатор напряжения</t>
  </si>
  <si>
    <t>4х канальный диффернциальный мультиплексор</t>
  </si>
  <si>
    <t>Инструментальный усилитель PGA</t>
  </si>
  <si>
    <t>Прецизионный источник тока</t>
  </si>
  <si>
    <t>RQ73C2B10RBTD</t>
  </si>
  <si>
    <t>R1161, R1162, R1163, R1164, R1165, R1166, R1167, R1168, R1169, R11610, R11611, R11612, R11613, R11614, R11615, R116</t>
  </si>
  <si>
    <t>R1171, R1172, R1173, R1174, R1175, R1176, R1177, R1178, R1179,  R11710, R11711, R11712, R11713, R11714, R11715, R11716</t>
  </si>
  <si>
    <r>
      <t>Прецизионный резистор 10 Ом 1206  0.1% 10ppm/</t>
    </r>
    <r>
      <rPr>
        <sz val="8"/>
        <color rgb="FF000000"/>
        <rFont val="Calibri"/>
        <family val="2"/>
        <charset val="204"/>
      </rPr>
      <t>°</t>
    </r>
    <r>
      <rPr>
        <sz val="9.1999999999999993"/>
        <color rgb="FF000000"/>
        <rFont val="Segoe UI"/>
        <family val="2"/>
        <charset val="204"/>
      </rPr>
      <t>C</t>
    </r>
  </si>
  <si>
    <t>TE Connectivity</t>
  </si>
  <si>
    <t>RQ73C2A100RBTD</t>
  </si>
  <si>
    <t>RQ73C2A49K9BTD</t>
  </si>
  <si>
    <r>
      <t>Прецизионный резистор 49.9 kOm 0805 0.1% 10ppm/</t>
    </r>
    <r>
      <rPr>
        <sz val="8"/>
        <color rgb="FF000000"/>
        <rFont val="Calibri"/>
        <family val="2"/>
        <charset val="204"/>
      </rPr>
      <t>°</t>
    </r>
    <r>
      <rPr>
        <sz val="9.1999999999999993"/>
        <color rgb="FF000000"/>
        <rFont val="Segoe UI"/>
        <family val="2"/>
        <charset val="204"/>
      </rPr>
      <t>C</t>
    </r>
  </si>
  <si>
    <t>RQ73C2A499RBTDF</t>
  </si>
  <si>
    <r>
      <t>Прецизионный резистор 100 Ом 0805  0.1% 10ppm/</t>
    </r>
    <r>
      <rPr>
        <sz val="8"/>
        <color rgb="FF000000"/>
        <rFont val="Calibri"/>
        <family val="2"/>
        <charset val="204"/>
      </rPr>
      <t>°</t>
    </r>
    <r>
      <rPr>
        <sz val="9.1999999999999993"/>
        <color rgb="FF000000"/>
        <rFont val="Segoe UI"/>
        <family val="2"/>
        <charset val="204"/>
      </rPr>
      <t>C</t>
    </r>
  </si>
  <si>
    <t xml:space="preserve">на 100мА 2 резистора впараллель </t>
  </si>
  <si>
    <t>для 5мА</t>
  </si>
  <si>
    <t>для 1ма</t>
  </si>
  <si>
    <t>наопорные 10мкА</t>
  </si>
  <si>
    <t>Omron</t>
  </si>
  <si>
    <t>1734035-1</t>
  </si>
  <si>
    <t>Разъём мини USB на плату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</si>
</sst>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&quot;₽&quot;"/>
    <numFmt numFmtId="165" formatCode="#,##0\ &quot;₽&quot;"/>
  </numFmts>
  <fonts count="12" x14ac:knownFonts="1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  <font>
      <sz val="8"/>
      <color rgb="FF000000"/>
      <name val="Arial"/>
      <family val="2"/>
      <charset val="204"/>
    </font>
    <font>
      <sz val="8"/>
      <color theme="5" tint="-0.249977111117893"/>
      <name val="Segoe UI"/>
      <family val="2"/>
      <charset val="204"/>
    </font>
    <font>
      <sz val="11"/>
      <color theme="5" tint="-0.249977111117893"/>
      <name val="Calibri"/>
      <family val="2"/>
      <charset val="204"/>
      <scheme val="minor"/>
    </font>
    <font>
      <strike/>
      <sz val="8"/>
      <color rgb="FF000000"/>
      <name val="Segoe UI"/>
      <family val="2"/>
      <charset val="204"/>
    </font>
    <font>
      <strike/>
      <sz val="11"/>
      <color theme="1"/>
      <name val="Calibri"/>
      <family val="2"/>
      <charset val="204"/>
      <scheme val="minor"/>
    </font>
    <font>
      <sz val="8"/>
      <color theme="5" tint="-0.249977111117893"/>
      <name val="Arial"/>
      <family val="2"/>
      <charset val="204"/>
    </font>
    <font>
      <sz val="8"/>
      <color rgb="FF1C2D38"/>
      <name val="Arial"/>
      <family val="2"/>
      <charset val="204"/>
    </font>
    <font>
      <b/>
      <sz val="8"/>
      <color rgb="FF000000"/>
      <name val="Segoe UI"/>
      <family val="2"/>
      <charset val="204"/>
    </font>
    <font>
      <sz val="8"/>
      <color rgb="FF000000"/>
      <name val="Calibri"/>
      <family val="2"/>
      <charset val="204"/>
    </font>
    <font>
      <sz val="9.1999999999999993"/>
      <color rgb="FF000000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  <xf numFmtId="0" fontId="1" fillId="0" borderId="1" xfId="0" quotePrefix="1" applyFont="1" applyBorder="1" applyAlignment="1">
      <alignment wrapText="1"/>
    </xf>
    <xf numFmtId="164" fontId="0" fillId="0" borderId="0" xfId="0" applyNumberFormat="1"/>
    <xf numFmtId="165" fontId="0" fillId="0" borderId="0" xfId="0" applyNumberFormat="1"/>
    <xf numFmtId="164" fontId="0" fillId="3" borderId="0" xfId="0" applyNumberFormat="1" applyFill="1"/>
    <xf numFmtId="0" fontId="2" fillId="0" borderId="0" xfId="0" applyFont="1"/>
    <xf numFmtId="0" fontId="3" fillId="0" borderId="1" xfId="0" quotePrefix="1" applyFont="1" applyBorder="1"/>
    <xf numFmtId="0" fontId="3" fillId="0" borderId="1" xfId="0" applyFont="1" applyBorder="1"/>
    <xf numFmtId="164" fontId="4" fillId="0" borderId="0" xfId="0" applyNumberFormat="1" applyFont="1"/>
    <xf numFmtId="0" fontId="4" fillId="0" borderId="0" xfId="0" applyFont="1"/>
    <xf numFmtId="0" fontId="5" fillId="0" borderId="1" xfId="0" quotePrefix="1" applyFont="1" applyBorder="1"/>
    <xf numFmtId="0" fontId="5" fillId="0" borderId="1" xfId="0" quotePrefix="1" applyFont="1" applyBorder="1" applyAlignment="1">
      <alignment vertical="distributed"/>
    </xf>
    <xf numFmtId="0" fontId="5" fillId="0" borderId="1" xfId="0" applyFont="1" applyBorder="1"/>
    <xf numFmtId="164" fontId="6" fillId="0" borderId="0" xfId="0" applyNumberFormat="1" applyFont="1"/>
    <xf numFmtId="0" fontId="1" fillId="0" borderId="2" xfId="0" applyFont="1" applyFill="1" applyBorder="1"/>
    <xf numFmtId="0" fontId="7" fillId="0" borderId="0" xfId="0" applyFont="1"/>
    <xf numFmtId="0" fontId="8" fillId="0" borderId="0" xfId="0" applyFont="1"/>
    <xf numFmtId="0" fontId="1" fillId="0" borderId="0" xfId="0" quotePrefix="1" applyFont="1" applyBorder="1"/>
    <xf numFmtId="0" fontId="9" fillId="0" borderId="0" xfId="0" quotePrefix="1" applyFont="1" applyBorder="1"/>
    <xf numFmtId="0" fontId="9" fillId="0" borderId="2" xfId="0" applyFont="1" applyFill="1" applyBorder="1"/>
    <xf numFmtId="0" fontId="9" fillId="0" borderId="1" xfId="0" quotePrefix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abSelected="1" topLeftCell="A46" zoomScale="85" zoomScaleNormal="85" workbookViewId="0">
      <selection activeCell="D87" sqref="D87"/>
    </sheetView>
  </sheetViews>
  <sheetFormatPr defaultRowHeight="14.4" x14ac:dyDescent="0.3"/>
  <cols>
    <col min="1" max="1" width="29.21875" customWidth="1"/>
    <col min="2" max="2" width="44" customWidth="1"/>
    <col min="3" max="3" width="40.33203125" customWidth="1"/>
    <col min="4" max="4" width="100.21875" customWidth="1"/>
    <col min="5" max="5" width="13.6640625" customWidth="1"/>
    <col min="6" max="6" width="11.109375" bestFit="1" customWidth="1"/>
    <col min="7" max="7" width="13.33203125" customWidth="1"/>
    <col min="8" max="8" width="61.44140625" customWidth="1"/>
  </cols>
  <sheetData>
    <row r="1" spans="1:8" x14ac:dyDescent="0.3">
      <c r="A1" s="1" t="s">
        <v>0</v>
      </c>
      <c r="B1" s="1" t="s">
        <v>1</v>
      </c>
      <c r="C1" s="1" t="s">
        <v>118</v>
      </c>
      <c r="D1" s="1" t="s">
        <v>2</v>
      </c>
      <c r="E1" s="1" t="s">
        <v>3</v>
      </c>
      <c r="F1" s="1" t="s">
        <v>110</v>
      </c>
    </row>
    <row r="2" spans="1:8" x14ac:dyDescent="0.3">
      <c r="A2" s="2" t="s">
        <v>4</v>
      </c>
      <c r="B2" s="2" t="s">
        <v>5</v>
      </c>
      <c r="C2" s="2"/>
      <c r="D2" s="2" t="s">
        <v>6</v>
      </c>
      <c r="E2" s="3">
        <v>1</v>
      </c>
      <c r="F2" s="5"/>
      <c r="G2" s="5">
        <f>F2*E2</f>
        <v>0</v>
      </c>
    </row>
    <row r="3" spans="1:8" x14ac:dyDescent="0.3">
      <c r="A3" s="18" t="s">
        <v>130</v>
      </c>
      <c r="B3" s="9" t="s">
        <v>129</v>
      </c>
      <c r="C3" s="9" t="s">
        <v>152</v>
      </c>
      <c r="D3" s="9" t="s">
        <v>19</v>
      </c>
      <c r="E3" s="3">
        <v>2</v>
      </c>
      <c r="F3" s="5">
        <v>24</v>
      </c>
      <c r="G3" s="5">
        <f t="shared" ref="G3:G78" si="0">F3*E3</f>
        <v>48</v>
      </c>
      <c r="H3" t="s">
        <v>131</v>
      </c>
    </row>
    <row r="4" spans="1:8" x14ac:dyDescent="0.3">
      <c r="A4" s="21" t="s">
        <v>187</v>
      </c>
      <c r="B4" s="2"/>
      <c r="C4" s="2"/>
      <c r="D4" s="2"/>
      <c r="E4" s="3"/>
      <c r="F4" s="5"/>
      <c r="G4" s="5"/>
    </row>
    <row r="5" spans="1:8" x14ac:dyDescent="0.3">
      <c r="A5" s="2" t="s">
        <v>68</v>
      </c>
      <c r="B5" s="2" t="s">
        <v>69</v>
      </c>
      <c r="C5" s="2" t="s">
        <v>183</v>
      </c>
      <c r="D5" s="2" t="s">
        <v>70</v>
      </c>
      <c r="E5" s="3">
        <v>1</v>
      </c>
      <c r="F5" s="5">
        <v>37</v>
      </c>
      <c r="G5" s="5">
        <f t="shared" ref="G5:G22" si="1">F5*E5</f>
        <v>37</v>
      </c>
    </row>
    <row r="6" spans="1:8" x14ac:dyDescent="0.3">
      <c r="A6" s="2" t="s">
        <v>66</v>
      </c>
      <c r="B6" s="2" t="s">
        <v>204</v>
      </c>
      <c r="C6" s="17" t="s">
        <v>155</v>
      </c>
      <c r="D6" s="2" t="s">
        <v>67</v>
      </c>
      <c r="E6" s="3">
        <v>1</v>
      </c>
      <c r="F6" s="5">
        <v>5960</v>
      </c>
      <c r="G6" s="5">
        <f t="shared" si="1"/>
        <v>5960</v>
      </c>
    </row>
    <row r="7" spans="1:8" x14ac:dyDescent="0.3">
      <c r="A7" s="2" t="s">
        <v>96</v>
      </c>
      <c r="B7" s="2" t="s">
        <v>218</v>
      </c>
      <c r="C7" s="17" t="s">
        <v>155</v>
      </c>
      <c r="D7" s="2" t="s">
        <v>97</v>
      </c>
      <c r="E7" s="3">
        <v>8</v>
      </c>
      <c r="F7" s="5">
        <v>2800</v>
      </c>
      <c r="G7" s="5">
        <f t="shared" si="1"/>
        <v>22400</v>
      </c>
    </row>
    <row r="8" spans="1:8" x14ac:dyDescent="0.3">
      <c r="A8" s="2" t="s">
        <v>94</v>
      </c>
      <c r="B8" s="2" t="s">
        <v>217</v>
      </c>
      <c r="C8" s="2" t="s">
        <v>155</v>
      </c>
      <c r="D8" s="2" t="s">
        <v>95</v>
      </c>
      <c r="E8" s="3">
        <v>8</v>
      </c>
      <c r="F8" s="5">
        <v>1390</v>
      </c>
      <c r="G8" s="5">
        <f t="shared" si="1"/>
        <v>11120</v>
      </c>
    </row>
    <row r="9" spans="1:8" x14ac:dyDescent="0.3">
      <c r="A9" s="2" t="s">
        <v>111</v>
      </c>
      <c r="B9" s="2" t="s">
        <v>136</v>
      </c>
      <c r="C9" s="17" t="s">
        <v>155</v>
      </c>
      <c r="D9" s="2" t="s">
        <v>26</v>
      </c>
      <c r="E9" s="3">
        <v>1</v>
      </c>
      <c r="F9" s="5">
        <v>940</v>
      </c>
      <c r="G9" s="5">
        <f t="shared" si="1"/>
        <v>940</v>
      </c>
    </row>
    <row r="10" spans="1:8" x14ac:dyDescent="0.3">
      <c r="A10" s="2" t="s">
        <v>83</v>
      </c>
      <c r="B10" s="4" t="s">
        <v>193</v>
      </c>
      <c r="C10" s="17" t="s">
        <v>155</v>
      </c>
      <c r="D10" s="2" t="s">
        <v>84</v>
      </c>
      <c r="E10" s="3">
        <v>1</v>
      </c>
      <c r="F10" s="5">
        <v>510</v>
      </c>
      <c r="G10" s="5">
        <f t="shared" si="1"/>
        <v>510</v>
      </c>
    </row>
    <row r="11" spans="1:8" x14ac:dyDescent="0.3">
      <c r="A11" s="2" t="s">
        <v>71</v>
      </c>
      <c r="B11" s="2" t="s">
        <v>205</v>
      </c>
      <c r="C11" s="17" t="s">
        <v>155</v>
      </c>
      <c r="D11" s="2" t="s">
        <v>72</v>
      </c>
      <c r="E11" s="3">
        <v>1</v>
      </c>
      <c r="F11" s="5">
        <v>1570</v>
      </c>
      <c r="G11" s="5">
        <f t="shared" si="1"/>
        <v>1570</v>
      </c>
    </row>
    <row r="12" spans="1:8" x14ac:dyDescent="0.3">
      <c r="A12" s="2" t="s">
        <v>87</v>
      </c>
      <c r="B12" s="2" t="s">
        <v>212</v>
      </c>
      <c r="C12" s="17" t="s">
        <v>155</v>
      </c>
      <c r="D12" s="2" t="s">
        <v>88</v>
      </c>
      <c r="E12" s="3">
        <v>1</v>
      </c>
      <c r="F12" s="5">
        <v>250</v>
      </c>
      <c r="G12" s="5">
        <f t="shared" si="1"/>
        <v>250</v>
      </c>
    </row>
    <row r="13" spans="1:8" x14ac:dyDescent="0.3">
      <c r="A13" s="2" t="s">
        <v>90</v>
      </c>
      <c r="B13" s="2" t="s">
        <v>211</v>
      </c>
      <c r="C13" s="17" t="s">
        <v>155</v>
      </c>
      <c r="D13" s="2" t="s">
        <v>91</v>
      </c>
      <c r="E13" s="3">
        <v>1</v>
      </c>
      <c r="F13" s="5">
        <v>340</v>
      </c>
      <c r="G13" s="5">
        <f t="shared" si="1"/>
        <v>340</v>
      </c>
    </row>
    <row r="14" spans="1:8" x14ac:dyDescent="0.3">
      <c r="A14" s="2" t="s">
        <v>27</v>
      </c>
      <c r="B14" s="2" t="s">
        <v>137</v>
      </c>
      <c r="C14" s="17" t="s">
        <v>156</v>
      </c>
      <c r="D14" s="2" t="s">
        <v>28</v>
      </c>
      <c r="E14" s="3">
        <v>1</v>
      </c>
      <c r="F14" s="5">
        <v>500</v>
      </c>
      <c r="G14" s="5">
        <f t="shared" si="1"/>
        <v>500</v>
      </c>
    </row>
    <row r="15" spans="1:8" x14ac:dyDescent="0.3">
      <c r="A15" s="2" t="s">
        <v>92</v>
      </c>
      <c r="B15" s="4" t="s">
        <v>214</v>
      </c>
      <c r="C15" s="4" t="s">
        <v>213</v>
      </c>
      <c r="D15" s="2" t="s">
        <v>93</v>
      </c>
      <c r="E15" s="3">
        <v>1</v>
      </c>
      <c r="F15" s="5">
        <v>1460</v>
      </c>
      <c r="G15" s="5">
        <f t="shared" si="1"/>
        <v>1460</v>
      </c>
    </row>
    <row r="16" spans="1:8" x14ac:dyDescent="0.3">
      <c r="A16" s="2" t="s">
        <v>79</v>
      </c>
      <c r="B16" s="2" t="s">
        <v>208</v>
      </c>
      <c r="C16" s="2" t="s">
        <v>209</v>
      </c>
      <c r="D16" s="2" t="s">
        <v>80</v>
      </c>
      <c r="E16" s="3">
        <v>1</v>
      </c>
      <c r="F16" s="5">
        <v>370</v>
      </c>
      <c r="G16" s="5">
        <f t="shared" si="1"/>
        <v>370</v>
      </c>
    </row>
    <row r="17" spans="1:8" x14ac:dyDescent="0.3">
      <c r="A17" s="2" t="s">
        <v>81</v>
      </c>
      <c r="B17" s="2" t="s">
        <v>210</v>
      </c>
      <c r="C17" s="2" t="s">
        <v>207</v>
      </c>
      <c r="D17" s="2" t="s">
        <v>82</v>
      </c>
      <c r="E17" s="3">
        <v>2</v>
      </c>
      <c r="F17" s="6">
        <v>6400</v>
      </c>
      <c r="G17" s="5">
        <f t="shared" si="1"/>
        <v>12800</v>
      </c>
    </row>
    <row r="18" spans="1:8" x14ac:dyDescent="0.3">
      <c r="A18" s="2" t="s">
        <v>98</v>
      </c>
      <c r="B18" s="2" t="s">
        <v>219</v>
      </c>
      <c r="C18" s="19" t="s">
        <v>155</v>
      </c>
      <c r="D18" s="2" t="s">
        <v>99</v>
      </c>
      <c r="E18" s="3">
        <v>16</v>
      </c>
      <c r="F18" s="5">
        <v>1050</v>
      </c>
      <c r="G18" s="5">
        <f t="shared" si="1"/>
        <v>16800</v>
      </c>
    </row>
    <row r="19" spans="1:8" x14ac:dyDescent="0.3">
      <c r="A19" s="2" t="s">
        <v>215</v>
      </c>
      <c r="B19" s="2" t="s">
        <v>216</v>
      </c>
      <c r="C19" s="17" t="s">
        <v>155</v>
      </c>
      <c r="D19" s="2" t="s">
        <v>89</v>
      </c>
      <c r="E19" s="3">
        <v>1</v>
      </c>
      <c r="F19" s="5">
        <v>2710</v>
      </c>
      <c r="G19" s="5">
        <f t="shared" si="1"/>
        <v>2710</v>
      </c>
    </row>
    <row r="20" spans="1:8" x14ac:dyDescent="0.3">
      <c r="A20" s="2" t="s">
        <v>85</v>
      </c>
      <c r="B20" s="2" t="s">
        <v>212</v>
      </c>
      <c r="C20" s="2" t="s">
        <v>207</v>
      </c>
      <c r="D20" s="2" t="s">
        <v>86</v>
      </c>
      <c r="E20" s="3">
        <v>4</v>
      </c>
      <c r="F20" s="5">
        <v>950</v>
      </c>
      <c r="G20" s="5">
        <f t="shared" si="1"/>
        <v>3800</v>
      </c>
    </row>
    <row r="21" spans="1:8" x14ac:dyDescent="0.3">
      <c r="A21" s="2" t="s">
        <v>75</v>
      </c>
      <c r="B21" s="2" t="s">
        <v>206</v>
      </c>
      <c r="C21" s="2" t="s">
        <v>207</v>
      </c>
      <c r="D21" s="2" t="s">
        <v>76</v>
      </c>
      <c r="E21" s="3">
        <v>4</v>
      </c>
      <c r="F21" s="5">
        <v>77</v>
      </c>
      <c r="G21" s="5">
        <f t="shared" si="1"/>
        <v>308</v>
      </c>
    </row>
    <row r="22" spans="1:8" x14ac:dyDescent="0.3">
      <c r="A22" s="2" t="s">
        <v>73</v>
      </c>
      <c r="B22" s="2" t="s">
        <v>192</v>
      </c>
      <c r="C22" s="2"/>
      <c r="D22" s="2" t="s">
        <v>74</v>
      </c>
      <c r="E22" s="3">
        <v>1</v>
      </c>
      <c r="F22" s="5">
        <v>4850</v>
      </c>
      <c r="G22" s="5">
        <f t="shared" si="1"/>
        <v>4850</v>
      </c>
    </row>
    <row r="23" spans="1:8" x14ac:dyDescent="0.3">
      <c r="A23" s="20"/>
      <c r="B23" s="2"/>
      <c r="C23" s="2"/>
      <c r="D23" s="2"/>
      <c r="E23" s="3"/>
      <c r="F23" s="5"/>
      <c r="G23" s="5"/>
    </row>
    <row r="24" spans="1:8" x14ac:dyDescent="0.3">
      <c r="A24" s="21" t="s">
        <v>186</v>
      </c>
      <c r="B24" s="2"/>
      <c r="C24" s="2"/>
      <c r="D24" s="2"/>
      <c r="E24" s="3"/>
      <c r="F24" s="5"/>
      <c r="G24" s="5"/>
    </row>
    <row r="25" spans="1:8" x14ac:dyDescent="0.3">
      <c r="A25" s="2" t="s">
        <v>145</v>
      </c>
      <c r="B25" s="2" t="s">
        <v>146</v>
      </c>
      <c r="C25" s="19" t="s">
        <v>159</v>
      </c>
      <c r="D25" s="2" t="s">
        <v>32</v>
      </c>
      <c r="E25" s="3">
        <v>1</v>
      </c>
      <c r="F25" s="5">
        <v>480</v>
      </c>
      <c r="G25" s="5">
        <f t="shared" ref="G25:G31" si="2">F25*E25</f>
        <v>480</v>
      </c>
    </row>
    <row r="26" spans="1:8" x14ac:dyDescent="0.3">
      <c r="A26" s="8" t="s">
        <v>168</v>
      </c>
      <c r="B26" s="2" t="s">
        <v>169</v>
      </c>
      <c r="C26" s="2" t="s">
        <v>149</v>
      </c>
      <c r="D26" s="2"/>
      <c r="E26" s="3">
        <v>1</v>
      </c>
      <c r="F26" s="5">
        <v>20</v>
      </c>
      <c r="G26" s="5">
        <f t="shared" si="2"/>
        <v>20</v>
      </c>
    </row>
    <row r="27" spans="1:8" x14ac:dyDescent="0.3">
      <c r="A27" s="2" t="s">
        <v>140</v>
      </c>
      <c r="B27" s="2" t="s">
        <v>161</v>
      </c>
      <c r="C27" s="2" t="s">
        <v>149</v>
      </c>
      <c r="D27" s="2" t="s">
        <v>31</v>
      </c>
      <c r="E27" s="3">
        <v>1</v>
      </c>
      <c r="F27" s="5">
        <v>68</v>
      </c>
      <c r="G27" s="5">
        <f t="shared" si="2"/>
        <v>68</v>
      </c>
    </row>
    <row r="28" spans="1:8" x14ac:dyDescent="0.3">
      <c r="A28" s="8" t="s">
        <v>162</v>
      </c>
      <c r="B28" s="2" t="s">
        <v>164</v>
      </c>
      <c r="C28" s="2" t="s">
        <v>163</v>
      </c>
      <c r="D28" s="2" t="s">
        <v>33</v>
      </c>
      <c r="E28" s="3">
        <v>8</v>
      </c>
      <c r="F28" s="5">
        <v>38</v>
      </c>
      <c r="G28" s="5">
        <f t="shared" si="2"/>
        <v>304</v>
      </c>
      <c r="H28" t="s">
        <v>160</v>
      </c>
    </row>
    <row r="29" spans="1:8" x14ac:dyDescent="0.3">
      <c r="A29" s="8" t="s">
        <v>165</v>
      </c>
      <c r="B29" s="2" t="s">
        <v>166</v>
      </c>
      <c r="C29" s="2" t="s">
        <v>167</v>
      </c>
      <c r="D29" s="2"/>
      <c r="E29" s="3">
        <v>8</v>
      </c>
      <c r="F29" s="5">
        <v>20</v>
      </c>
      <c r="G29" s="5">
        <f t="shared" si="2"/>
        <v>160</v>
      </c>
    </row>
    <row r="30" spans="1:8" x14ac:dyDescent="0.3">
      <c r="A30" s="8" t="s">
        <v>170</v>
      </c>
      <c r="B30" s="2" t="s">
        <v>171</v>
      </c>
      <c r="C30" s="2" t="s">
        <v>163</v>
      </c>
      <c r="D30" s="2"/>
      <c r="E30" s="3">
        <v>9</v>
      </c>
      <c r="F30" s="5">
        <v>31</v>
      </c>
      <c r="G30" s="5">
        <f t="shared" si="2"/>
        <v>279</v>
      </c>
    </row>
    <row r="31" spans="1:8" x14ac:dyDescent="0.3">
      <c r="A31" s="2" t="s">
        <v>126</v>
      </c>
      <c r="B31" s="2" t="s">
        <v>125</v>
      </c>
      <c r="C31" s="2" t="s">
        <v>149</v>
      </c>
      <c r="D31" s="2" t="s">
        <v>14</v>
      </c>
      <c r="E31" s="3">
        <v>1</v>
      </c>
      <c r="F31" s="5">
        <v>9</v>
      </c>
      <c r="G31" s="5">
        <f t="shared" si="2"/>
        <v>9</v>
      </c>
    </row>
    <row r="32" spans="1:8" x14ac:dyDescent="0.3">
      <c r="A32" s="21"/>
      <c r="B32" s="2"/>
      <c r="C32" s="2"/>
      <c r="D32" s="2"/>
      <c r="E32" s="3"/>
      <c r="F32" s="5"/>
      <c r="G32" s="5"/>
    </row>
    <row r="33" spans="1:8" x14ac:dyDescent="0.3">
      <c r="A33" s="21" t="s">
        <v>182</v>
      </c>
      <c r="B33" s="2"/>
      <c r="C33" s="2"/>
      <c r="D33" s="2"/>
      <c r="E33" s="3"/>
      <c r="F33" s="5"/>
      <c r="G33" s="5"/>
    </row>
    <row r="34" spans="1:8" x14ac:dyDescent="0.3">
      <c r="A34" s="2" t="s">
        <v>175</v>
      </c>
      <c r="B34" s="2" t="s">
        <v>174</v>
      </c>
      <c r="C34" s="2" t="s">
        <v>176</v>
      </c>
      <c r="D34" s="2" t="s">
        <v>43</v>
      </c>
      <c r="E34" s="3">
        <v>1</v>
      </c>
      <c r="F34" s="5">
        <v>44</v>
      </c>
      <c r="G34" s="5">
        <f>F34*E34</f>
        <v>44</v>
      </c>
    </row>
    <row r="35" spans="1:8" x14ac:dyDescent="0.3">
      <c r="A35" s="2" t="s">
        <v>44</v>
      </c>
      <c r="B35" s="2" t="s">
        <v>177</v>
      </c>
      <c r="C35" s="2" t="s">
        <v>179</v>
      </c>
      <c r="D35" s="2" t="s">
        <v>45</v>
      </c>
      <c r="E35" s="3">
        <v>16</v>
      </c>
      <c r="F35" s="5">
        <v>5</v>
      </c>
      <c r="G35" s="5">
        <f>F35*E35</f>
        <v>80</v>
      </c>
    </row>
    <row r="36" spans="1:8" x14ac:dyDescent="0.3">
      <c r="A36" s="2" t="s">
        <v>46</v>
      </c>
      <c r="B36" s="2" t="s">
        <v>178</v>
      </c>
      <c r="C36" s="2" t="s">
        <v>179</v>
      </c>
      <c r="D36" s="2" t="s">
        <v>47</v>
      </c>
      <c r="E36" s="3">
        <v>16</v>
      </c>
      <c r="F36" s="5">
        <v>5</v>
      </c>
      <c r="G36" s="5">
        <f>F36*E36</f>
        <v>80</v>
      </c>
    </row>
    <row r="37" spans="1:8" s="12" customFormat="1" x14ac:dyDescent="0.3">
      <c r="A37" s="2" t="s">
        <v>181</v>
      </c>
      <c r="B37" s="9" t="s">
        <v>184</v>
      </c>
      <c r="C37" s="9" t="s">
        <v>183</v>
      </c>
      <c r="D37" s="9" t="s">
        <v>65</v>
      </c>
      <c r="E37" s="10">
        <v>1</v>
      </c>
      <c r="F37" s="11">
        <v>5</v>
      </c>
      <c r="G37" s="11">
        <f t="shared" ref="G37" si="3">F37*E37</f>
        <v>5</v>
      </c>
      <c r="H37" s="12" t="s">
        <v>185</v>
      </c>
    </row>
    <row r="38" spans="1:8" x14ac:dyDescent="0.3">
      <c r="A38" s="8" t="s">
        <v>147</v>
      </c>
      <c r="B38" s="2" t="s">
        <v>148</v>
      </c>
      <c r="C38" s="2" t="s">
        <v>149</v>
      </c>
      <c r="D38" s="2" t="s">
        <v>29</v>
      </c>
      <c r="E38" s="3">
        <v>11</v>
      </c>
      <c r="F38" s="5">
        <v>2</v>
      </c>
      <c r="G38" s="5">
        <f>F38*E38</f>
        <v>22</v>
      </c>
      <c r="H38" t="s">
        <v>141</v>
      </c>
    </row>
    <row r="39" spans="1:8" x14ac:dyDescent="0.3">
      <c r="A39" s="2" t="s">
        <v>143</v>
      </c>
      <c r="B39" s="8" t="s">
        <v>139</v>
      </c>
      <c r="C39" s="2" t="s">
        <v>149</v>
      </c>
      <c r="D39" s="2" t="s">
        <v>30</v>
      </c>
      <c r="E39" s="3">
        <v>2</v>
      </c>
      <c r="F39" s="5">
        <v>9</v>
      </c>
      <c r="G39" s="5">
        <f>F39*E39</f>
        <v>18</v>
      </c>
    </row>
    <row r="40" spans="1:8" x14ac:dyDescent="0.3">
      <c r="A40" s="2" t="s">
        <v>138</v>
      </c>
      <c r="B40" s="2" t="s">
        <v>142</v>
      </c>
      <c r="C40" s="2" t="s">
        <v>149</v>
      </c>
      <c r="D40" s="2" t="s">
        <v>30</v>
      </c>
      <c r="E40" s="3">
        <v>2</v>
      </c>
      <c r="F40" s="5">
        <v>9</v>
      </c>
      <c r="G40" s="5">
        <f>F40*E40</f>
        <v>18</v>
      </c>
      <c r="H40" t="s">
        <v>144</v>
      </c>
    </row>
    <row r="41" spans="1:8" x14ac:dyDescent="0.3">
      <c r="A41" s="8" t="s">
        <v>157</v>
      </c>
      <c r="B41" s="2" t="s">
        <v>158</v>
      </c>
      <c r="C41" s="2" t="s">
        <v>149</v>
      </c>
      <c r="D41" s="2" t="s">
        <v>172</v>
      </c>
      <c r="E41" s="3">
        <v>69</v>
      </c>
      <c r="F41" s="5">
        <v>2</v>
      </c>
      <c r="G41" s="5">
        <f>F41*E41</f>
        <v>138</v>
      </c>
    </row>
    <row r="42" spans="1:8" x14ac:dyDescent="0.3">
      <c r="A42" s="8"/>
      <c r="B42" s="2"/>
      <c r="C42" s="2"/>
      <c r="D42" s="2"/>
      <c r="E42" s="3"/>
      <c r="F42" s="5"/>
      <c r="G42" s="5"/>
    </row>
    <row r="43" spans="1:8" x14ac:dyDescent="0.3">
      <c r="A43" s="20" t="s">
        <v>188</v>
      </c>
      <c r="B43" s="2"/>
      <c r="C43" s="2"/>
      <c r="D43" s="2"/>
      <c r="E43" s="3"/>
      <c r="F43" s="5"/>
      <c r="G43" s="5"/>
    </row>
    <row r="44" spans="1:8" x14ac:dyDescent="0.3">
      <c r="A44" s="2" t="s">
        <v>20</v>
      </c>
      <c r="B44" s="2" t="s">
        <v>132</v>
      </c>
      <c r="C44" s="2" t="s">
        <v>153</v>
      </c>
      <c r="D44" s="2" t="s">
        <v>21</v>
      </c>
      <c r="E44" s="3">
        <v>1</v>
      </c>
      <c r="F44" s="5">
        <v>35</v>
      </c>
      <c r="G44" s="5">
        <f t="shared" ref="G44:G49" si="4">F44*E44</f>
        <v>35</v>
      </c>
    </row>
    <row r="45" spans="1:8" x14ac:dyDescent="0.3">
      <c r="A45" s="2" t="s">
        <v>22</v>
      </c>
      <c r="B45" s="2" t="s">
        <v>133</v>
      </c>
      <c r="C45" s="2" t="s">
        <v>154</v>
      </c>
      <c r="D45" s="2" t="s">
        <v>23</v>
      </c>
      <c r="E45" s="3">
        <v>2</v>
      </c>
      <c r="F45" s="5">
        <v>30</v>
      </c>
      <c r="G45" s="5">
        <f t="shared" si="4"/>
        <v>60</v>
      </c>
    </row>
    <row r="46" spans="1:8" x14ac:dyDescent="0.3">
      <c r="A46" s="2" t="s">
        <v>24</v>
      </c>
      <c r="B46" s="2" t="s">
        <v>134</v>
      </c>
      <c r="C46" s="2"/>
      <c r="D46" s="2" t="s">
        <v>25</v>
      </c>
      <c r="E46" s="3">
        <v>16</v>
      </c>
      <c r="F46" s="5"/>
      <c r="G46" s="5">
        <f t="shared" si="4"/>
        <v>0</v>
      </c>
      <c r="H46" t="s">
        <v>135</v>
      </c>
    </row>
    <row r="47" spans="1:8" x14ac:dyDescent="0.3">
      <c r="A47" s="2" t="s">
        <v>15</v>
      </c>
      <c r="B47" s="2" t="s">
        <v>16</v>
      </c>
      <c r="C47" s="2" t="s">
        <v>150</v>
      </c>
      <c r="D47" s="2" t="s">
        <v>17</v>
      </c>
      <c r="E47" s="3">
        <v>2</v>
      </c>
      <c r="F47" s="5">
        <v>37</v>
      </c>
      <c r="G47" s="5">
        <f t="shared" si="4"/>
        <v>74</v>
      </c>
    </row>
    <row r="48" spans="1:8" x14ac:dyDescent="0.3">
      <c r="A48" s="2" t="s">
        <v>77</v>
      </c>
      <c r="B48" s="2" t="s">
        <v>191</v>
      </c>
      <c r="C48" s="2" t="s">
        <v>150</v>
      </c>
      <c r="D48" s="2" t="s">
        <v>78</v>
      </c>
      <c r="E48" s="3">
        <v>1</v>
      </c>
      <c r="F48" s="5">
        <v>24</v>
      </c>
      <c r="G48" s="5">
        <f t="shared" si="4"/>
        <v>24</v>
      </c>
    </row>
    <row r="49" spans="1:8" x14ac:dyDescent="0.3">
      <c r="A49" s="17" t="s">
        <v>128</v>
      </c>
      <c r="B49" s="2" t="s">
        <v>127</v>
      </c>
      <c r="C49" s="2" t="s">
        <v>151</v>
      </c>
      <c r="D49" s="2" t="s">
        <v>18</v>
      </c>
      <c r="E49" s="3">
        <v>4</v>
      </c>
      <c r="F49" s="5">
        <v>9</v>
      </c>
      <c r="G49" s="5">
        <f t="shared" si="4"/>
        <v>36</v>
      </c>
    </row>
    <row r="50" spans="1:8" x14ac:dyDescent="0.3">
      <c r="A50" s="17"/>
      <c r="B50" s="2"/>
      <c r="C50" s="2"/>
      <c r="D50" s="2"/>
      <c r="E50" s="3"/>
      <c r="F50" s="5"/>
      <c r="G50" s="5"/>
    </row>
    <row r="51" spans="1:8" x14ac:dyDescent="0.3">
      <c r="A51" s="22" t="s">
        <v>197</v>
      </c>
      <c r="B51" s="2"/>
      <c r="C51" s="2"/>
      <c r="D51" s="2"/>
      <c r="E51" s="3"/>
      <c r="F51" s="5"/>
      <c r="G51" s="5"/>
    </row>
    <row r="52" spans="1:8" s="12" customFormat="1" x14ac:dyDescent="0.3">
      <c r="A52" s="9" t="s">
        <v>35</v>
      </c>
      <c r="B52" s="9" t="s">
        <v>36</v>
      </c>
      <c r="C52" s="9" t="s">
        <v>120</v>
      </c>
      <c r="D52" s="9" t="s">
        <v>37</v>
      </c>
      <c r="E52" s="10">
        <v>1</v>
      </c>
      <c r="F52" s="11"/>
      <c r="G52" s="11">
        <f>F52*E52</f>
        <v>0</v>
      </c>
      <c r="H52" s="12" t="s">
        <v>173</v>
      </c>
    </row>
    <row r="53" spans="1:8" x14ac:dyDescent="0.3">
      <c r="A53" s="2" t="s">
        <v>38</v>
      </c>
      <c r="B53" s="2" t="s">
        <v>198</v>
      </c>
      <c r="C53" s="2" t="s">
        <v>180</v>
      </c>
      <c r="D53" s="2" t="s">
        <v>39</v>
      </c>
      <c r="E53" s="3">
        <v>2</v>
      </c>
      <c r="F53" s="5">
        <v>390</v>
      </c>
      <c r="G53" s="5">
        <f>F53*E53</f>
        <v>780</v>
      </c>
    </row>
    <row r="54" spans="1:8" s="12" customFormat="1" x14ac:dyDescent="0.3">
      <c r="A54" s="9" t="s">
        <v>112</v>
      </c>
      <c r="B54" s="9" t="s">
        <v>40</v>
      </c>
      <c r="C54" s="9" t="s">
        <v>120</v>
      </c>
      <c r="D54" s="9" t="s">
        <v>41</v>
      </c>
      <c r="E54" s="10">
        <v>64</v>
      </c>
      <c r="F54" s="11">
        <v>6</v>
      </c>
      <c r="G54" s="11">
        <f>F54*E54</f>
        <v>384</v>
      </c>
      <c r="H54" s="12" t="s">
        <v>173</v>
      </c>
    </row>
    <row r="55" spans="1:8" x14ac:dyDescent="0.3">
      <c r="A55" s="22"/>
      <c r="B55" s="2"/>
      <c r="C55" s="2"/>
      <c r="D55" s="2"/>
      <c r="E55" s="3"/>
      <c r="F55" s="5"/>
      <c r="G55" s="5"/>
    </row>
    <row r="56" spans="1:8" x14ac:dyDescent="0.3">
      <c r="A56" s="22" t="s">
        <v>189</v>
      </c>
      <c r="B56" s="2"/>
      <c r="C56" s="2"/>
      <c r="D56" s="2"/>
      <c r="E56" s="3"/>
      <c r="F56" s="5"/>
      <c r="G56" s="5"/>
    </row>
    <row r="57" spans="1:8" ht="15" customHeight="1" x14ac:dyDescent="0.3">
      <c r="A57" s="2" t="s">
        <v>113</v>
      </c>
      <c r="B57" s="2" t="s">
        <v>115</v>
      </c>
      <c r="C57" s="2" t="s">
        <v>120</v>
      </c>
      <c r="D57" s="2" t="s">
        <v>124</v>
      </c>
      <c r="E57" s="3">
        <v>196</v>
      </c>
      <c r="F57" s="5">
        <v>1.6</v>
      </c>
      <c r="G57" s="5">
        <f>F57*E57</f>
        <v>313.60000000000002</v>
      </c>
    </row>
    <row r="58" spans="1:8" x14ac:dyDescent="0.3">
      <c r="A58" s="8" t="s">
        <v>114</v>
      </c>
      <c r="B58" s="2" t="s">
        <v>116</v>
      </c>
      <c r="C58" s="2" t="s">
        <v>120</v>
      </c>
      <c r="D58" s="2" t="s">
        <v>7</v>
      </c>
      <c r="E58" s="3">
        <v>11</v>
      </c>
      <c r="F58" s="5">
        <v>7.6</v>
      </c>
      <c r="G58" s="5">
        <f>F58*E58</f>
        <v>83.6</v>
      </c>
    </row>
    <row r="59" spans="1:8" x14ac:dyDescent="0.3">
      <c r="A59" s="2" t="s">
        <v>117</v>
      </c>
      <c r="B59" s="2" t="s">
        <v>121</v>
      </c>
      <c r="C59" s="2" t="s">
        <v>119</v>
      </c>
      <c r="D59" s="2" t="s">
        <v>9</v>
      </c>
      <c r="E59" s="3">
        <v>2</v>
      </c>
      <c r="F59" s="5">
        <v>12</v>
      </c>
      <c r="G59" s="5">
        <f>F59*E59</f>
        <v>24</v>
      </c>
    </row>
    <row r="60" spans="1:8" s="12" customFormat="1" x14ac:dyDescent="0.3">
      <c r="A60" s="9" t="s">
        <v>8</v>
      </c>
      <c r="B60" s="9" t="s">
        <v>10</v>
      </c>
      <c r="C60" s="9"/>
      <c r="D60" s="9" t="s">
        <v>11</v>
      </c>
      <c r="E60" s="10">
        <v>9</v>
      </c>
      <c r="F60" s="11"/>
      <c r="G60" s="11">
        <f>F60*E60</f>
        <v>0</v>
      </c>
      <c r="H60" s="12" t="s">
        <v>122</v>
      </c>
    </row>
    <row r="61" spans="1:8" ht="31.2" customHeight="1" x14ac:dyDescent="0.3">
      <c r="A61" s="13" t="s">
        <v>8</v>
      </c>
      <c r="B61" s="13" t="s">
        <v>12</v>
      </c>
      <c r="C61" s="13"/>
      <c r="D61" s="14" t="s">
        <v>13</v>
      </c>
      <c r="E61" s="15">
        <v>48</v>
      </c>
      <c r="F61" s="16"/>
      <c r="G61" s="16">
        <f>F61*E61</f>
        <v>0</v>
      </c>
      <c r="H61" t="s">
        <v>123</v>
      </c>
    </row>
    <row r="62" spans="1:8" ht="21" customHeight="1" x14ac:dyDescent="0.3">
      <c r="A62" s="13"/>
      <c r="B62" s="13"/>
      <c r="C62" s="13"/>
      <c r="D62" s="14"/>
      <c r="E62" s="15"/>
      <c r="F62" s="16"/>
      <c r="G62" s="16"/>
    </row>
    <row r="63" spans="1:8" ht="21" customHeight="1" x14ac:dyDescent="0.3">
      <c r="A63" s="23" t="s">
        <v>190</v>
      </c>
      <c r="B63" s="13"/>
      <c r="C63" s="13"/>
      <c r="D63" s="14"/>
      <c r="E63" s="15"/>
      <c r="F63" s="16"/>
      <c r="G63" s="16"/>
    </row>
    <row r="64" spans="1:8" x14ac:dyDescent="0.3">
      <c r="A64" s="2" t="s">
        <v>60</v>
      </c>
      <c r="B64" s="2" t="s">
        <v>61</v>
      </c>
      <c r="C64" s="2"/>
      <c r="D64" s="2" t="s">
        <v>62</v>
      </c>
      <c r="E64" s="3">
        <v>1</v>
      </c>
      <c r="F64" s="5">
        <v>2800</v>
      </c>
      <c r="G64" s="5">
        <f t="shared" ref="G64:G66" si="5">F64*E64</f>
        <v>2800</v>
      </c>
    </row>
    <row r="65" spans="1:8" x14ac:dyDescent="0.3">
      <c r="A65" s="8" t="s">
        <v>226</v>
      </c>
      <c r="B65" s="2" t="s">
        <v>227</v>
      </c>
      <c r="C65" s="19" t="s">
        <v>224</v>
      </c>
      <c r="D65" s="2" t="s">
        <v>221</v>
      </c>
      <c r="E65" s="3">
        <v>16</v>
      </c>
      <c r="F65" s="5">
        <v>120</v>
      </c>
      <c r="G65" s="5">
        <f t="shared" ref="G65" si="6">F65*E65</f>
        <v>1920</v>
      </c>
      <c r="H65" t="s">
        <v>233</v>
      </c>
    </row>
    <row r="66" spans="1:8" x14ac:dyDescent="0.3">
      <c r="A66" s="2" t="s">
        <v>220</v>
      </c>
      <c r="B66" s="2" t="s">
        <v>223</v>
      </c>
      <c r="C66" s="19" t="s">
        <v>224</v>
      </c>
      <c r="D66" s="2" t="s">
        <v>222</v>
      </c>
      <c r="E66" s="3">
        <v>16</v>
      </c>
      <c r="F66" s="5">
        <v>120</v>
      </c>
      <c r="G66" s="5">
        <f t="shared" si="5"/>
        <v>1920</v>
      </c>
      <c r="H66" t="s">
        <v>230</v>
      </c>
    </row>
    <row r="67" spans="1:8" x14ac:dyDescent="0.3">
      <c r="A67" s="2" t="s">
        <v>225</v>
      </c>
      <c r="B67" s="2" t="s">
        <v>229</v>
      </c>
      <c r="C67" s="19" t="s">
        <v>224</v>
      </c>
      <c r="D67" s="2" t="s">
        <v>222</v>
      </c>
      <c r="E67" s="3">
        <v>8</v>
      </c>
      <c r="F67" s="5">
        <v>150</v>
      </c>
      <c r="G67" s="5">
        <f t="shared" ref="G67" si="7">F67*E67</f>
        <v>1200</v>
      </c>
      <c r="H67" t="s">
        <v>231</v>
      </c>
    </row>
    <row r="68" spans="1:8" x14ac:dyDescent="0.3">
      <c r="A68" s="2" t="s">
        <v>228</v>
      </c>
      <c r="B68" s="2" t="s">
        <v>229</v>
      </c>
      <c r="C68" s="19" t="s">
        <v>224</v>
      </c>
      <c r="D68" s="2" t="s">
        <v>222</v>
      </c>
      <c r="E68" s="3">
        <v>16</v>
      </c>
      <c r="F68" s="5">
        <v>180</v>
      </c>
      <c r="G68" s="5">
        <f t="shared" ref="G68" si="8">F68*E68</f>
        <v>2880</v>
      </c>
      <c r="H68" t="s">
        <v>232</v>
      </c>
    </row>
    <row r="69" spans="1:8" x14ac:dyDescent="0.3">
      <c r="A69" s="2" t="s">
        <v>48</v>
      </c>
      <c r="B69" s="2" t="s">
        <v>200</v>
      </c>
      <c r="C69" s="2"/>
      <c r="D69" s="2" t="s">
        <v>49</v>
      </c>
      <c r="E69" s="3">
        <v>5</v>
      </c>
      <c r="F69" s="5">
        <v>2</v>
      </c>
      <c r="G69" s="5">
        <f t="shared" ref="G69:G74" si="9">F69*E69</f>
        <v>10</v>
      </c>
    </row>
    <row r="70" spans="1:8" x14ac:dyDescent="0.3">
      <c r="A70" s="2" t="s">
        <v>50</v>
      </c>
      <c r="B70" s="2" t="s">
        <v>200</v>
      </c>
      <c r="C70" s="2"/>
      <c r="D70" s="2" t="s">
        <v>51</v>
      </c>
      <c r="E70" s="3">
        <v>17</v>
      </c>
      <c r="F70" s="5">
        <v>2</v>
      </c>
      <c r="G70" s="5">
        <f t="shared" si="9"/>
        <v>34</v>
      </c>
    </row>
    <row r="71" spans="1:8" x14ac:dyDescent="0.3">
      <c r="A71" s="2" t="s">
        <v>52</v>
      </c>
      <c r="B71" s="2" t="s">
        <v>200</v>
      </c>
      <c r="C71" s="2"/>
      <c r="D71" s="2" t="s">
        <v>53</v>
      </c>
      <c r="E71" s="3">
        <v>1</v>
      </c>
      <c r="F71" s="5">
        <v>2</v>
      </c>
      <c r="G71" s="5">
        <f t="shared" si="9"/>
        <v>2</v>
      </c>
    </row>
    <row r="72" spans="1:8" x14ac:dyDescent="0.3">
      <c r="A72" s="2" t="s">
        <v>54</v>
      </c>
      <c r="B72" s="2" t="s">
        <v>200</v>
      </c>
      <c r="C72" s="2"/>
      <c r="D72" s="2" t="s">
        <v>55</v>
      </c>
      <c r="E72" s="3">
        <v>1</v>
      </c>
      <c r="F72" s="5">
        <v>2</v>
      </c>
      <c r="G72" s="5">
        <f t="shared" si="9"/>
        <v>2</v>
      </c>
    </row>
    <row r="73" spans="1:8" x14ac:dyDescent="0.3">
      <c r="A73" s="2" t="s">
        <v>56</v>
      </c>
      <c r="B73" s="2" t="s">
        <v>200</v>
      </c>
      <c r="C73" s="2"/>
      <c r="D73" s="2" t="s">
        <v>57</v>
      </c>
      <c r="E73" s="3">
        <v>2</v>
      </c>
      <c r="F73" s="5">
        <v>2</v>
      </c>
      <c r="G73" s="5">
        <f t="shared" si="9"/>
        <v>4</v>
      </c>
    </row>
    <row r="74" spans="1:8" x14ac:dyDescent="0.3">
      <c r="A74" s="2" t="s">
        <v>58</v>
      </c>
      <c r="B74" s="2" t="s">
        <v>200</v>
      </c>
      <c r="C74" s="2"/>
      <c r="D74" s="2" t="s">
        <v>59</v>
      </c>
      <c r="E74" s="3">
        <v>2</v>
      </c>
      <c r="F74" s="5">
        <v>2</v>
      </c>
      <c r="G74" s="5">
        <f t="shared" si="9"/>
        <v>4</v>
      </c>
    </row>
    <row r="75" spans="1:8" x14ac:dyDescent="0.3">
      <c r="A75" s="23" t="s">
        <v>196</v>
      </c>
      <c r="B75" s="2"/>
      <c r="C75" s="2"/>
      <c r="D75" s="2"/>
      <c r="E75" s="3"/>
      <c r="F75" s="5"/>
      <c r="G75" s="5"/>
    </row>
    <row r="76" spans="1:8" ht="13.8" customHeight="1" x14ac:dyDescent="0.3">
      <c r="A76" s="2" t="s">
        <v>194</v>
      </c>
      <c r="B76" s="2" t="s">
        <v>195</v>
      </c>
      <c r="C76" s="2" t="s">
        <v>234</v>
      </c>
      <c r="D76" s="2" t="s">
        <v>34</v>
      </c>
      <c r="E76" s="3">
        <v>1</v>
      </c>
      <c r="F76" s="5">
        <v>370</v>
      </c>
      <c r="G76" s="5">
        <f t="shared" si="0"/>
        <v>370</v>
      </c>
    </row>
    <row r="77" spans="1:8" x14ac:dyDescent="0.3">
      <c r="A77" s="2" t="s">
        <v>202</v>
      </c>
      <c r="B77" s="2" t="s">
        <v>199</v>
      </c>
      <c r="C77" s="19" t="s">
        <v>120</v>
      </c>
      <c r="D77" s="2" t="s">
        <v>42</v>
      </c>
      <c r="E77" s="3">
        <v>1</v>
      </c>
      <c r="F77" s="5">
        <v>7140</v>
      </c>
      <c r="G77" s="5">
        <f t="shared" si="0"/>
        <v>7140</v>
      </c>
    </row>
    <row r="78" spans="1:8" x14ac:dyDescent="0.3">
      <c r="A78" s="2" t="s">
        <v>63</v>
      </c>
      <c r="B78" s="2" t="s">
        <v>201</v>
      </c>
      <c r="C78" s="19" t="s">
        <v>203</v>
      </c>
      <c r="D78" s="2" t="s">
        <v>64</v>
      </c>
      <c r="E78" s="3">
        <v>1</v>
      </c>
      <c r="F78" s="5">
        <v>530</v>
      </c>
      <c r="G78" s="5">
        <f t="shared" si="0"/>
        <v>530</v>
      </c>
    </row>
    <row r="79" spans="1:8" x14ac:dyDescent="0.3">
      <c r="A79" s="2" t="s">
        <v>100</v>
      </c>
      <c r="B79" s="2" t="s">
        <v>101</v>
      </c>
      <c r="C79" s="2"/>
      <c r="D79" s="2" t="s">
        <v>102</v>
      </c>
      <c r="E79" s="3">
        <v>1</v>
      </c>
      <c r="F79" s="5">
        <v>500</v>
      </c>
      <c r="G79" s="5">
        <f t="shared" ref="G79:G82" si="10">F79*E79</f>
        <v>500</v>
      </c>
    </row>
    <row r="80" spans="1:8" x14ac:dyDescent="0.3">
      <c r="A80" s="2" t="s">
        <v>103</v>
      </c>
      <c r="B80" s="2" t="s">
        <v>104</v>
      </c>
      <c r="C80" s="2"/>
      <c r="D80" s="2" t="s">
        <v>105</v>
      </c>
      <c r="E80" s="3">
        <v>1</v>
      </c>
      <c r="F80" s="5"/>
      <c r="G80" s="5">
        <f t="shared" si="10"/>
        <v>0</v>
      </c>
    </row>
    <row r="81" spans="1:7" x14ac:dyDescent="0.3">
      <c r="A81" s="2" t="s">
        <v>235</v>
      </c>
      <c r="B81" s="2" t="s">
        <v>236</v>
      </c>
      <c r="C81" s="2"/>
      <c r="D81" s="2" t="s">
        <v>106</v>
      </c>
      <c r="E81" s="3">
        <v>1</v>
      </c>
      <c r="F81" s="5">
        <v>170</v>
      </c>
      <c r="G81" s="5">
        <f t="shared" si="10"/>
        <v>170</v>
      </c>
    </row>
    <row r="82" spans="1:7" x14ac:dyDescent="0.3">
      <c r="A82" s="2" t="s">
        <v>107</v>
      </c>
      <c r="B82" s="2" t="s">
        <v>108</v>
      </c>
      <c r="C82" s="2"/>
      <c r="D82" s="2" t="s">
        <v>109</v>
      </c>
      <c r="E82" s="3">
        <v>2</v>
      </c>
      <c r="F82" s="5">
        <v>300</v>
      </c>
      <c r="G82" s="5">
        <f t="shared" si="10"/>
        <v>600</v>
      </c>
    </row>
    <row r="83" spans="1:7" x14ac:dyDescent="0.3">
      <c r="F83" s="5"/>
      <c r="G83" s="7">
        <f>SUM(G2:G82)</f>
        <v>110398.20000000001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PCB_proj_module_1_1</vt:lpstr>
    </vt:vector>
  </TitlesOfParts>
  <Company>BINP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BINP User</dc:creator>
  <cp:lastModifiedBy>BINP User</cp:lastModifiedBy>
  <dcterms:created xsi:type="dcterms:W3CDTF">2024-11-06T09:32:46Z</dcterms:created>
  <dcterms:modified xsi:type="dcterms:W3CDTF">2024-11-27T05:39:45Z</dcterms:modified>
</cp:coreProperties>
</file>